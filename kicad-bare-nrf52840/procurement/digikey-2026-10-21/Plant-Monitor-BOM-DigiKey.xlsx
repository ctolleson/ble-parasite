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5261b3a17340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 and cost" sheetId="1" r:id="R16f3f10b2dc84f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0.00"/>
    <x:numFmt numFmtId="201" formatCode="$0.00000"/>
    <x:numFmt numFmtId="202" formatCode="0"/>
    <x:numFmt numFmtId="203" formatCode="#,##0"/>
  </x:numFmts>
  <x:fonts count="5">
    <x:font>
      <x:sz val="11"/>
      <x:name val="Carlito"/>
    </x:font>
    <x:font>
      <x:sz val="10"/>
      <x:name val="Arial"/>
    </x:font>
    <x:font>
      <x:b/>
      <x:sz val="15"/>
      <x:name val="Arial"/>
    </x:font>
    <x:font>
      <x:b/>
      <x:sz val="10"/>
      <x:color rgb="FFFFFFFF"/>
      <x:name val="Arial"/>
    </x:font>
    <x:font>
      <x:b/>
      <x:sz val="1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8475E"/>
      </x:patternFill>
    </x:fill>
    <x:fill>
      <x:patternFill patternType="solid">
        <x:fgColor rgb="FFFFF2CC"/>
      </x:patternFill>
    </x:fill>
    <x:fill>
      <x:patternFill patternType="solid">
        <x:fgColor rgb="FF28475E"/>
      </x:patternFill>
    </x:fill>
    <x:fill>
      <x:patternFill patternType="solid">
        <x:fgColor rgb="FFFCE4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1" fillId="4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/>
  </x:cellXfs>
  <x:cellStyles count="1">
    <x:cellStyle name="Normal" xfId="0"/>
  </x:cellStyles>
  <x:dxfs count="6"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a8ab533f1d4044" /><Relationship Type="http://schemas.openxmlformats.org/officeDocument/2006/relationships/theme" Target="/xl/theme/theme1.xml" Id="Rd49d27d5b5e3454f" /><Relationship Type="http://schemas.openxmlformats.org/officeDocument/2006/relationships/sharedStrings" Target="/xl/sharedStrings.xml" Id="R585ae6125e3b49d6" /><Relationship Type="http://schemas.openxmlformats.org/officeDocument/2006/relationships/worksheet" Target="/xl/worksheets/sheet1.xml" Id="R16f3f10b2dc84f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30" hidden="0" customWidth="1"/>
    <x:col min="2" max="2" width="19" hidden="0" customWidth="1"/>
    <x:col min="3" max="3" width="35" hidden="0" customWidth="1"/>
    <x:col min="4" max="4" width="25" hidden="0" customWidth="1"/>
    <x:col min="5" max="5" width="12" hidden="0" customWidth="1"/>
    <x:col min="6" max="6" width="13" hidden="0" customWidth="1"/>
    <x:col min="7" max="7" width="42" hidden="0" customWidth="1"/>
    <x:col min="8" max="8" width="13" hidden="0" customWidth="1"/>
    <x:col min="9" max="9" width="15" hidden="0" customWidth="1"/>
    <x:col min="10" max="10" width="14" hidden="0" customWidth="1"/>
    <x:col min="11" max="11" width="24" hidden="0" customWidth="1"/>
    <x:col min="12" max="12" width="25" hidden="0" customWidth="1"/>
    <x:col min="13" max="13" width="12" hidden="0" customWidth="1"/>
    <x:col min="14" max="14" width="110" hidden="0" customWidth="1"/>
    <x:col min="15" max="15" width="3" hidden="0" customWidth="1"/>
    <x:col min="16" max="16" width="95" hidden="0" customWidth="1"/>
    <x:col min="17" max="17" width="36" hidden="0" customWidth="1"/>
    <x:col min="18" max="18" width="25" hidden="0" customWidth="1"/>
    <x:col min="19" max="19" width="65" hidden="0" customWidth="1"/>
    <x:col min="20" max="20" width="42" hidden="0" customWidth="1"/>
    <x:col min="21" max="21" width="10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2" t="str">
        <x:v>nRF52840 plant monitor BOM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>
      <x:c r="A4" s="1" t="str">
        <x:v>Board quantity</x:v>
      </x:c>
      <x:c r="B4" s="15" t="n">
        <x:v>5</x:v>
      </x:c>
      <x:c r="C4" s="1"/>
      <x:c r="D4" s="1" t="str">
        <x:v>Checked October 21, 2026 in signed-in DigiKey account. USD.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>
      <x:c r="A5" s="1" t="str">
        <x:v>Proposed parts total (USD)</x:v>
      </x:c>
      <x:c r="B5" s="3" t="n">
        <x:f>SUM(I11:I41)</x:f>
        <x:v>90.58999999999999</x:v>
      </x:c>
      <x:c r="C5" s="1"/>
      <x:c r="D5" s="1" t="str">
        <x:v>31 proposed lines in stock. AE1 is a conditional candidate requiring RF validation; C6 has reduced effective capacitance and requires supply-transient validation.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>
      <x:c r="A6" s="1" t="str">
        <x:v>Assembly release status</x:v>
      </x:c>
      <x:c r="B6" s="22" t="str">
        <x:f>IF(T11="HOLD — RF validation","AE1/C6 HOLD","Review complete")</x:f>
        <x:v>AE1/C6 HOLD</x:v>
      </x:c>
      <x:c r="C6" s="1"/>
      <x:c r="D6" s="1" t="str">
        <x:v>Excludes attrition, batteries, programmer, PCB fabrication, assembly, freight, tax and tariffs.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</x:row>
    <x:row r="7">
      <x:c r="A7" s="1" t="str">
        <x:v>Unpriced line items</x:v>
      </x:c>
      <x:c r="B7" s="1" t="n">
        <x:f>31-COUNT(H11:H41)</x:f>
        <x:v>0</x:v>
      </x:c>
      <x:c r="C7" s="1"/>
      <x:c r="D7" s="1" t="str">
        <x:v>Procurement BOM only: CAD and submitted JLCPCB files unchanged. No purchase made. Requote if quantities change.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</x:row>
    <x:row r="8">
      <x:c r="A8" s="1" t="str">
        <x:v>Total excluding antenna</x:v>
      </x:c>
      <x:c r="B8" s="3" t="n">
        <x:f>B5-I11</x:f>
        <x:v>87.99</x:v>
      </x:c>
      <x:c r="C8" s="1"/>
      <x:c r="D8" s="1" t="str">
        <x:v>Antenna A candidate: $2.60 / five. Original B: $2.65 / five, out of stock; expected Nov 6. Neither option removes prototype RF qualification.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</x:row>
    <x:row r="10" ht="30" customHeight="1">
      <x:c r="A10" s="16" t="str">
        <x:v>References</x:v>
      </x:c>
      <x:c r="B10" s="16" t="str">
        <x:v>Value</x:v>
      </x:c>
      <x:c r="C10" s="16" t="str">
        <x:v>Selected / candidate MPN</x:v>
      </x:c>
      <x:c r="D10" s="16" t="str">
        <x:v>Manufacturer</x:v>
      </x:c>
      <x:c r="E10" s="16" t="str">
        <x:v>Qty / board</x:v>
      </x:c>
      <x:c r="F10" s="16" t="str">
        <x:v>Qty for build</x:v>
      </x:c>
      <x:c r="G10" s="16" t="str">
        <x:v>DigiKey part number</x:v>
      </x:c>
      <x:c r="H10" s="16" t="str">
        <x:v>Unit USD</x:v>
      </x:c>
      <x:c r="I10" s="16" t="str">
        <x:v>Extended USD</x:v>
      </x:c>
      <x:c r="J10" s="16" t="str">
        <x:v>Stock units</x:v>
      </x:c>
      <x:c r="K10" s="16" t="str">
        <x:v>Availability</x:v>
      </x:c>
      <x:c r="L10" s="16" t="str">
        <x:v>MOQ</x:v>
      </x:c>
      <x:c r="M10" s="16" t="str">
        <x:v>Lead weeks</x:v>
      </x:c>
      <x:c r="N10" s="16" t="str">
        <x:v>Review notes</x:v>
      </x:c>
      <x:c r="O10" s="1" t="str"/>
      <x:c r="P10" s="1" t="str">
        <x:v>DigiKey source</x:v>
      </x:c>
      <x:c r="Q10" s="19" t="str">
        <x:v>Original project MPN</x:v>
      </x:c>
      <x:c r="R10" s="19" t="str">
        <x:v>Original manufacturer</x:v>
      </x:c>
      <x:c r="S10" s="19" t="str">
        <x:v>PCB footprint</x:v>
      </x:c>
      <x:c r="T10" s="19" t="str">
        <x:v>Review status</x:v>
      </x:c>
      <x:c r="U10" s="19" t="str">
        <x:v>Manufacturer datasheet</x:v>
      </x:c>
    </x:row>
    <x:row r="11" ht="105" customHeight="1">
      <x:c r="A11" s="9" t="str">
        <x:v>AE1</x:v>
      </x:c>
      <x:c r="B11" s="9" t="str">
        <x:v>2.4 GHz antenna</x:v>
      </x:c>
      <x:c r="C11" s="9" t="str">
        <x:v>2450AT18A0100001E</x:v>
      </x:c>
      <x:c r="D11" s="9" t="str">
        <x:v>Johanson</x:v>
      </x:c>
      <x:c r="E11" s="12" t="n">
        <x:v>1</x:v>
      </x:c>
      <x:c r="F11" s="12" t="n">
        <x:f>E11*$B$4</x:f>
        <x:v>5</x:v>
      </x:c>
      <x:c r="G11" s="9" t="str">
        <x:v>712-2450AT18A0100001ECT-ND</x:v>
      </x:c>
      <x:c r="H11" s="10" t="n">
        <x:v>0.52</x:v>
      </x:c>
      <x:c r="I11" s="11" t="n">
        <x:f>IF(ISNUMBER(H11),ROUND(F11*H11,2),"")</x:f>
        <x:v>2.6</x:v>
      </x:c>
      <x:c r="J11" s="13" t="n">
        <x:v>161256</x:v>
      </x:c>
      <x:c r="K11" s="20" t="str">
        <x:v>In stock — review hold</x:v>
      </x:c>
      <x:c r="L11" s="9" t="str">
        <x:v>Cut Tape (CT) : 1</x:v>
      </x:c>
      <x:c r="M11" s="9" t="str">
        <x:v>18</x:v>
      </x:c>
      <x:c r="N11" s="9" t="str">
        <x:v>Candidate only, NOT an approved drop-in. Same 3.2 x 1.6 mm body; 1=feed/2=NC; 2.4–2.5 GHz. PCB pads 1.2 x 1.8 mm at 2.9 mm pitch fit. A reference tuning is 1.0 pF / 2.7 nH / 3.9 nH; PCB has 1.2 pF / 2.7 nH / 3.3 nH. Requires board-specific matching, VNA and BLE-range validation. Original B antenna out of stock.</x:v>
      </x:c>
      <x:c r="O11" s="9" t="str"/>
      <x:c r="P11" s="9" t="str">
        <x:v>https://www.digikey.com/en/products/detail/johanson-technology-inc/2450AT18A0100001E/1560676</x:v>
      </x:c>
      <x:c r="Q11" s="9" t="str">
        <x:v>2450AT18B0100001E</x:v>
      </x:c>
      <x:c r="R11" s="9" t="str">
        <x:v>Johanson</x:v>
      </x:c>
      <x:c r="S11" s="9" t="str">
        <x:v>RF_Antenna:Johanson_2450AT18x100</x:v>
      </x:c>
      <x:c r="T11" s="20" t="str">
        <x:v>HOLD — RF validation</x:v>
      </x:c>
      <x:c r="U11" s="9" t="str">
        <x:v>https://www.johansontechnology.com/docs/3827/Antenna-2450AT18A0100001E-Rev4.0.pdf</x:v>
      </x:c>
    </x:row>
    <x:row r="12" ht="48" customHeight="1">
      <x:c r="A12" s="9" t="str">
        <x:v>BT1</x:v>
      </x:c>
      <x:c r="B12" s="9" t="str">
        <x:v>Battery_Cell</x:v>
      </x:c>
      <x:c r="C12" s="9" t="str">
        <x:v>1060</x:v>
      </x:c>
      <x:c r="D12" s="9" t="str">
        <x:v>Keystone</x:v>
      </x:c>
      <x:c r="E12" s="12" t="n">
        <x:v>1</x:v>
      </x:c>
      <x:c r="F12" s="12" t="n">
        <x:f>E12*$B$4</x:f>
        <x:v>5</x:v>
      </x:c>
      <x:c r="G12" s="9" t="str">
        <x:v>36-1060-ND</x:v>
      </x:c>
      <x:c r="H12" s="10" t="n">
        <x:v>1.2</x:v>
      </x:c>
      <x:c r="I12" s="11" t="n">
        <x:f>IF(ISNUMBER(H12),ROUND(F12*H12,2),"")</x:f>
        <x:v>6</x:v>
      </x:c>
      <x:c r="J12" s="13" t="n">
        <x:v>10731</x:v>
      </x:c>
      <x:c r="K12" s="9" t="str">
        <x:v>In stock</x:v>
      </x:c>
      <x:c r="L12" s="9" t="str">
        <x:v>Bulk : 1</x:v>
      </x:c>
      <x:c r="M12" s="9" t="str">
        <x:v>11</x:v>
      </x:c>
      <x:c r="N12" s="9" t="str">
        <x:v>Exact existing project part retained; no new substitution.</x:v>
      </x:c>
      <x:c r="O12" s="9" t="str"/>
      <x:c r="P12" s="9" t="str">
        <x:v>https://www.digikey.com/en/products/detail/keystone-electronics/1060/303556</x:v>
      </x:c>
      <x:c r="Q12" s="9" t="str">
        <x:v>1060</x:v>
      </x:c>
      <x:c r="R12" s="9" t="str">
        <x:v>Keystone</x:v>
      </x:c>
      <x:c r="S12" s="9" t="str">
        <x:v>b-parasite:BatteryHolder_Keystone_1060_NoBodySilk</x:v>
      </x:c>
      <x:c r="T12" s="9" t="str">
        <x:v>Original part retained</x:v>
      </x:c>
      <x:c r="U12" s="9" t="str">
        <x:v>https://www.keyelco.com/userAssets/file/K75p4.pdf</x:v>
      </x:c>
    </x:row>
    <x:row r="13" ht="48" customHeight="1">
      <x:c r="A13" s="9" t="str">
        <x:v>C1</x:v>
      </x:c>
      <x:c r="B13" s="9" t="str">
        <x:v>1n</x:v>
      </x:c>
      <x:c r="C13" s="9" t="str">
        <x:v>CC0402KRX7R9BB102</x:v>
      </x:c>
      <x:c r="D13" s="9" t="str">
        <x:v>YAGEO</x:v>
      </x:c>
      <x:c r="E13" s="12" t="n">
        <x:v>1</x:v>
      </x:c>
      <x:c r="F13" s="12" t="n">
        <x:f>E13*$B$4</x:f>
        <x:v>5</x:v>
      </x:c>
      <x:c r="G13" s="9" t="str">
        <x:v>311-1036-1-ND</x:v>
      </x:c>
      <x:c r="H13" s="10" t="n">
        <x:v>0.1</x:v>
      </x:c>
      <x:c r="I13" s="11" t="n">
        <x:f>IF(ISNUMBER(H13),ROUND(F13*H13,2),"")</x:f>
        <x:v>0.5</x:v>
      </x:c>
      <x:c r="J13" s="13" t="n">
        <x:v>1592937</x:v>
      </x:c>
      <x:c r="K13" s="9" t="str">
        <x:v>In stock</x:v>
      </x:c>
      <x:c r="L13" s="9" t="str">
        <x:v>Cut Tape (CT) : 1</x:v>
      </x:c>
      <x:c r="M13" s="9" t="str">
        <x:v>16</x:v>
      </x:c>
      <x:c r="N13" s="9" t="str">
        <x:v>1 nF ±10%, 50 V X7R, 0402 (1.0 x 0.5 mm). Same value/rating class for SENS_OUT filter. Fits 0.56 x 0.62 mm pads at 0.96 mm pitch, inner gap 0.40 mm.</x:v>
      </x:c>
      <x:c r="O13" s="9" t="str"/>
      <x:c r="P13" s="9" t="str">
        <x:v>https://www.digikey.com/en/products/detail/yageo/CC0402KRX7R9BB102/302770</x:v>
      </x:c>
      <x:c r="Q13" s="9" t="str">
        <x:v>0402B102K500NT</x:v>
      </x:c>
      <x:c r="R13" s="9" t="str">
        <x:v>FH</x:v>
      </x:c>
      <x:c r="S13" s="9" t="str">
        <x:v>Capacitor_SMD:C_0402_1005Metric</x:v>
      </x:c>
      <x:c r="T13" s="9" t="str">
        <x:v>Reviewed equivalent</x:v>
      </x:c>
      <x:c r="U13" s="9" t="str">
        <x:v>https://yageogroup.com/content/datasheet/asset/file/UPY-GPHC_X7R_6_3V-TO-250V</x:v>
      </x:c>
    </x:row>
    <x:row r="14" ht="48" customHeight="1">
      <x:c r="A14" s="9" t="str">
        <x:v>C2,C5,C8,C9,C10</x:v>
      </x:c>
      <x:c r="B14" s="9" t="str">
        <x:v>100n</x:v>
      </x:c>
      <x:c r="C14" s="9" t="str">
        <x:v>CC0402KRX7R7BB104</x:v>
      </x:c>
      <x:c r="D14" s="9" t="str">
        <x:v>YAGEO</x:v>
      </x:c>
      <x:c r="E14" s="12" t="n">
        <x:v>5</x:v>
      </x:c>
      <x:c r="F14" s="12" t="n">
        <x:f>E14*$B$4</x:f>
        <x:v>25</x:v>
      </x:c>
      <x:c r="G14" s="9" t="str">
        <x:v>311-1338-1-ND</x:v>
      </x:c>
      <x:c r="H14" s="10" t="n">
        <x:v>0.041</x:v>
      </x:c>
      <x:c r="I14" s="11" t="n">
        <x:f>IF(ISNUMBER(H14),ROUND(F14*H14,2),"")</x:f>
        <x:v>1.03</x:v>
      </x:c>
      <x:c r="J14" s="13" t="n">
        <x:v>1181871</x:v>
      </x:c>
      <x:c r="K14" s="9" t="str">
        <x:v>In stock</x:v>
      </x:c>
      <x:c r="L14" s="9" t="str">
        <x:v>Cut Tape (CT) : 1</x:v>
      </x:c>
      <x:c r="M14" s="9" t="str">
        <x:v>20</x:v>
      </x:c>
      <x:c r="N14" s="9" t="str">
        <x:v>100 nF ±10%, 16 V X7R, 0402. Preserves VDD bypass value, tolerance and dielectric. Fits 0.56 x 0.62 mm pads / 0.96 mm pitch; voltage rating exceeds 3 V rail.</x:v>
      </x:c>
      <x:c r="O14" s="9" t="str"/>
      <x:c r="P14" s="9" t="str">
        <x:v>https://www.digikey.com/en/products/detail/yageo/CC0402KRX7R7BB104/2103076</x:v>
      </x:c>
      <x:c r="Q14" s="9" t="str">
        <x:v>CL05B104KO5NNNC</x:v>
      </x:c>
      <x:c r="R14" s="9" t="str">
        <x:v>Samsung</x:v>
      </x:c>
      <x:c r="S14" s="9" t="str">
        <x:v>Capacitor_SMD:C_0402_1005Metric</x:v>
      </x:c>
      <x:c r="T14" s="9" t="str">
        <x:v>Reviewed equivalent</x:v>
      </x:c>
      <x:c r="U14" s="9" t="str">
        <x:v>https://yageogroup.com/content/datasheet/asset/file/UPY-GPHC_X7R_6_3V-TO-250V</x:v>
      </x:c>
    </x:row>
    <x:row r="15" ht="48" customHeight="1">
      <x:c r="A15" s="9" t="str">
        <x:v>C3,C4,C14,C15</x:v>
      </x:c>
      <x:c r="B15" s="9" t="str">
        <x:v>12p</x:v>
      </x:c>
      <x:c r="C15" s="9" t="str">
        <x:v>CC0402JRNPO9BN120</x:v>
      </x:c>
      <x:c r="D15" s="9" t="str">
        <x:v>YAGEO</x:v>
      </x:c>
      <x:c r="E15" s="12" t="n">
        <x:v>4</x:v>
      </x:c>
      <x:c r="F15" s="12" t="n">
        <x:f>E15*$B$4</x:f>
        <x:v>20</x:v>
      </x:c>
      <x:c r="G15" s="9" t="str">
        <x:v>311-1016-1-ND</x:v>
      </x:c>
      <x:c r="H15" s="10" t="n">
        <x:v>0.034</x:v>
      </x:c>
      <x:c r="I15" s="11" t="n">
        <x:f>IF(ISNUMBER(H15),ROUND(F15*H15,2),"")</x:f>
        <x:v>0.68</x:v>
      </x:c>
      <x:c r="J15" s="13" t="n">
        <x:v>793107</x:v>
      </x:c>
      <x:c r="K15" s="9" t="str">
        <x:v>In stock</x:v>
      </x:c>
      <x:c r="L15" s="9" t="str">
        <x:v>Cut Tape (CT) : 1</x:v>
      </x:c>
      <x:c r="M15" s="9" t="str">
        <x:v>16</x:v>
      </x:c>
      <x:c r="N15" s="9" t="str">
        <x:v>12 pF ±5%, 50 V C0G/NP0, 0402. Preserves crystal-load value and dielectric. Fits 0.56 x 0.62 mm pads / 0.96 mm pitch. Existing oscillator startup/frequency prototype checks remain.</x:v>
      </x:c>
      <x:c r="O15" s="9" t="str"/>
      <x:c r="P15" s="9" t="str">
        <x:v>https://www.digikey.com/en/products/detail/yageo/CC0402JRNPO9BN120/302750</x:v>
      </x:c>
      <x:c r="Q15" s="9" t="str">
        <x:v>0402CG120J500NT</x:v>
      </x:c>
      <x:c r="R15" s="9" t="str">
        <x:v>FH</x:v>
      </x:c>
      <x:c r="S15" s="9" t="str">
        <x:v>Capacitor_SMD:C_0402_1005Metric</x:v>
      </x:c>
      <x:c r="T15" s="9" t="str">
        <x:v>Reviewed equivalent</x:v>
      </x:c>
      <x:c r="U15" s="9" t="str">
        <x:v>https://yageogroup.com/download/specsheet/CC0402JRNPO9BN120</x:v>
      </x:c>
    </x:row>
    <x:row r="16" ht="90" customHeight="1">
      <x:c r="A16" s="9" t="str">
        <x:v>C6</x:v>
      </x:c>
      <x:c r="B16" s="9" t="str">
        <x:v>4.7u</x:v>
      </x:c>
      <x:c r="C16" s="9" t="str">
        <x:v>C1005X5R1A475K050BC</x:v>
      </x:c>
      <x:c r="D16" s="9" t="str">
        <x:v>TDK</x:v>
      </x:c>
      <x:c r="E16" s="12" t="n">
        <x:v>1</x:v>
      </x:c>
      <x:c r="F16" s="12" t="n">
        <x:f>E16*$B$4</x:f>
        <x:v>5</x:v>
      </x:c>
      <x:c r="G16" s="9" t="str">
        <x:v>445-13820-1-ND</x:v>
      </x:c>
      <x:c r="H16" s="10" t="n">
        <x:v>0.25</x:v>
      </x:c>
      <x:c r="I16" s="11" t="n">
        <x:f>IF(ISNUMBER(H16),ROUND(F16*H16,2),"")</x:f>
        <x:v>1.25</x:v>
      </x:c>
      <x:c r="J16" s="13" t="n">
        <x:v>1492800</x:v>
      </x:c>
      <x:c r="K16" s="9" t="str">
        <x:v>In stock — review hold</x:v>
      </x:c>
      <x:c r="L16" s="9" t="str">
        <x:v>Cut Tape (CT) : 1</x:v>
      </x:c>
      <x:c r="M16" s="9" t="str">
        <x:v>28</x:v>
      </x:c>
      <x:c r="N16" s="9" t="str">
        <x:v>Candidate only. 4.7 µF ±10% (was ±20%), 10 V X5R; 0402 body 1.0 x 0.5 mm, height ≤0.65 mm fits PCB pads. Typical manufacturer curves at 3 V: TDK about 1.4 µF, original Samsung about 1.8–1.9 µF (graph estimates, not guaranteed limits). Reduced effective bulk capacitance prevents unconditional equivalence approval. Verify VDD droop during worst-case BLE bursts with aged/cold CR2032 or select a characterized alternative.</x:v>
      </x:c>
      <x:c r="O16" s="9" t="str"/>
      <x:c r="P16" s="9" t="str">
        <x:v>https://www.digikey.com/en/products/detail/tdk/C1005X5R1A475K050BC/3951056</x:v>
      </x:c>
      <x:c r="Q16" s="9" t="str">
        <x:v>CL05A475MP5NRNC</x:v>
      </x:c>
      <x:c r="R16" s="9" t="str">
        <x:v>Samsung</x:v>
      </x:c>
      <x:c r="S16" s="9" t="str">
        <x:v>Capacitor_SMD:C_0402_1005Metric</x:v>
      </x:c>
      <x:c r="T16" s="21" t="str">
        <x:v>HOLD — VDD transient validation</x:v>
      </x:c>
      <x:c r="U16" s="9" t="str">
        <x:v>https://product.tdk.com/system/files/dam/doc/product/capacitor/ceramic/mlcc/catalog/mlcc_commercial_general_en.pdf</x:v>
      </x:c>
    </x:row>
    <x:row r="17" ht="48" customHeight="1">
      <x:c r="A17" s="9" t="str">
        <x:v>C7,C11</x:v>
      </x:c>
      <x:c r="B17" s="9" t="str">
        <x:v>1u</x:v>
      </x:c>
      <x:c r="C17" s="9" t="str">
        <x:v>CL05A105KA5NQNC</x:v>
      </x:c>
      <x:c r="D17" s="9" t="str">
        <x:v>Samsung</x:v>
      </x:c>
      <x:c r="E17" s="12" t="n">
        <x:v>2</x:v>
      </x:c>
      <x:c r="F17" s="12" t="n">
        <x:f>E17*$B$4</x:f>
        <x:v>10</x:v>
      </x:c>
      <x:c r="G17" s="9" t="str">
        <x:v>1276-1445-1-ND</x:v>
      </x:c>
      <x:c r="H17" s="10" t="n">
        <x:v>0.109</x:v>
      </x:c>
      <x:c r="I17" s="11" t="n">
        <x:f>IF(ISNUMBER(H17),ROUND(F17*H17,2),"")</x:f>
        <x:v>1.09</x:v>
      </x:c>
      <x:c r="J17" s="13" t="n">
        <x:v>1952576</x:v>
      </x:c>
      <x:c r="K17" s="9" t="str">
        <x:v>In stock</x:v>
      </x:c>
      <x:c r="L17" s="9" t="str">
        <x:v>Cut Tape (CT) : 1</x:v>
      </x:c>
      <x:c r="M17" s="9" t="str">
        <x:v>61</x:v>
      </x:c>
      <x:c r="N17" s="9" t="str">
        <x:v>Exact existing project part retained; no new substitution.</x:v>
      </x:c>
      <x:c r="O17" s="9" t="str"/>
      <x:c r="P17" s="9" t="str">
        <x:v>https://www.digikey.com/en/products/detail/samsung-electro-mechanics/CL05A105KA5NQNC/3887103</x:v>
      </x:c>
      <x:c r="Q17" s="9" t="str">
        <x:v>CL05A105KA5NQNC</x:v>
      </x:c>
      <x:c r="R17" s="9" t="str">
        <x:v>Samsung</x:v>
      </x:c>
      <x:c r="S17" s="9" t="str">
        <x:v>Capacitor_SMD:C_0402_1005Metric</x:v>
      </x:c>
      <x:c r="T17" s="9" t="str">
        <x:v>Original part retained</x:v>
      </x:c>
      <x:c r="U17" s="9" t="str">
        <x:v>https://mm.digikey.com/Volume0/opasdata/d220001/medias/docus/41/CL05A105KA5NQNC.pdf</x:v>
      </x:c>
    </x:row>
    <x:row r="18" ht="48" customHeight="1">
      <x:c r="A18" s="9" t="str">
        <x:v>C12</x:v>
      </x:c>
      <x:c r="B18" s="9" t="str">
        <x:v>47n</x:v>
      </x:c>
      <x:c r="C18" s="9" t="str">
        <x:v>CC0402KRX7R8BB473</x:v>
      </x:c>
      <x:c r="D18" s="9" t="str">
        <x:v>YAGEO</x:v>
      </x:c>
      <x:c r="E18" s="12" t="n">
        <x:v>1</x:v>
      </x:c>
      <x:c r="F18" s="12" t="n">
        <x:f>E18*$B$4</x:f>
        <x:v>5</x:v>
      </x:c>
      <x:c r="G18" s="9" t="str">
        <x:v>311-1717-1-ND</x:v>
      </x:c>
      <x:c r="H18" s="10" t="n">
        <x:v>0.11</x:v>
      </x:c>
      <x:c r="I18" s="11" t="n">
        <x:f>IF(ISNUMBER(H18),ROUND(F18*H18,2),"")</x:f>
        <x:v>0.55</x:v>
      </x:c>
      <x:c r="J18" s="13" t="n">
        <x:v>79630</x:v>
      </x:c>
      <x:c r="K18" s="9" t="str">
        <x:v>In stock</x:v>
      </x:c>
      <x:c r="L18" s="9" t="str">
        <x:v>Cut Tape (CT) : 1</x:v>
      </x:c>
      <x:c r="M18" s="9" t="str">
        <x:v>20</x:v>
      </x:c>
      <x:c r="N18" s="9" t="str">
        <x:v>47 nF ±10%, 25 V X7R, 0402. Same DEC4_6 bypass value/dielectric/rating. Fits 0.56 x 0.62 mm pads at 0.96 mm pitch.</x:v>
      </x:c>
      <x:c r="O18" s="9" t="str"/>
      <x:c r="P18" s="9" t="str">
        <x:v>https://www.digikey.com/en/products/detail/yageo/CC0402KRX7R8BB473/5195126</x:v>
      </x:c>
      <x:c r="Q18" s="9" t="str">
        <x:v>CL05B473KA5NNNC</x:v>
      </x:c>
      <x:c r="R18" s="9" t="str">
        <x:v>Samsung</x:v>
      </x:c>
      <x:c r="S18" s="9" t="str">
        <x:v>Capacitor_SMD:C_0402_1005Metric</x:v>
      </x:c>
      <x:c r="T18" s="9" t="str">
        <x:v>Reviewed equivalent</x:v>
      </x:c>
      <x:c r="U18" s="9" t="str">
        <x:v>https://yageogroup.com/content/datasheet/asset/file/UPY-GPHC_X7R_6_3V-TO-250V</x:v>
      </x:c>
    </x:row>
    <x:row r="19" ht="48" customHeight="1">
      <x:c r="A19" s="9" t="str">
        <x:v>C13</x:v>
      </x:c>
      <x:c r="B19" s="9" t="str">
        <x:v>100p</x:v>
      </x:c>
      <x:c r="C19" s="9" t="str">
        <x:v>CC0402JRNPO9BN101</x:v>
      </x:c>
      <x:c r="D19" s="9" t="str">
        <x:v>YAGEO</x:v>
      </x:c>
      <x:c r="E19" s="12" t="n">
        <x:v>1</x:v>
      </x:c>
      <x:c r="F19" s="12" t="n">
        <x:f>E19*$B$4</x:f>
        <x:v>5</x:v>
      </x:c>
      <x:c r="G19" s="9" t="str">
        <x:v>311-1024-1-ND</x:v>
      </x:c>
      <x:c r="H19" s="10" t="n">
        <x:v>0.1</x:v>
      </x:c>
      <x:c r="I19" s="11" t="n">
        <x:f>IF(ISNUMBER(H19),ROUND(F19*H19,2),"")</x:f>
        <x:v>0.5</x:v>
      </x:c>
      <x:c r="J19" s="13" t="n">
        <x:v>4317810</x:v>
      </x:c>
      <x:c r="K19" s="9" t="str">
        <x:v>In stock</x:v>
      </x:c>
      <x:c r="L19" s="9" t="str">
        <x:v>Cut Tape (CT) : 1</x:v>
      </x:c>
      <x:c r="M19" s="9" t="str">
        <x:v>16</x:v>
      </x:c>
      <x:c r="N19" s="9" t="str">
        <x:v>100 pF ±5%, 50 V C0G/NP0, 0402. Same DEC3 bypass value/rating/dielectric. Fits 0.56 x 0.62 mm pads at 0.96 mm pitch.</x:v>
      </x:c>
      <x:c r="O19" s="9" t="str"/>
      <x:c r="P19" s="9" t="str">
        <x:v>https://www.digikey.com/en/products/detail/yageo/CC0402JRNPO9BN101/302758</x:v>
      </x:c>
      <x:c r="Q19" s="9" t="str">
        <x:v>CL05C101JB5NNNC</x:v>
      </x:c>
      <x:c r="R19" s="9" t="str">
        <x:v>Samsung</x:v>
      </x:c>
      <x:c r="S19" s="9" t="str">
        <x:v>Capacitor_SMD:C_0402_1005Metric</x:v>
      </x:c>
      <x:c r="T19" s="9" t="str">
        <x:v>Reviewed equivalent</x:v>
      </x:c>
      <x:c r="U19" s="9" t="str">
        <x:v>https://yageogroup.com/download/specsheet/CC0402JRNPO9BN101</x:v>
      </x:c>
    </x:row>
    <x:row r="20" ht="48" customHeight="1">
      <x:c r="A20" s="9" t="str">
        <x:v>C16</x:v>
      </x:c>
      <x:c r="B20" s="9" t="str">
        <x:v>820p</x:v>
      </x:c>
      <x:c r="C20" s="9" t="str">
        <x:v>CL05C821JB5NNNC</x:v>
      </x:c>
      <x:c r="D20" s="9" t="str">
        <x:v>Samsung</x:v>
      </x:c>
      <x:c r="E20" s="12" t="n">
        <x:v>1</x:v>
      </x:c>
      <x:c r="F20" s="12" t="n">
        <x:f>E20*$B$4</x:f>
        <x:v>5</x:v>
      </x:c>
      <x:c r="G20" s="9" t="str">
        <x:v>1276-1727-1-ND</x:v>
      </x:c>
      <x:c r="H20" s="10" t="n">
        <x:v>0.1</x:v>
      </x:c>
      <x:c r="I20" s="11" t="n">
        <x:f>IF(ISNUMBER(H20),ROUND(F20*H20,2),"")</x:f>
        <x:v>0.5</x:v>
      </x:c>
      <x:c r="J20" s="13" t="n">
        <x:v>2462</x:v>
      </x:c>
      <x:c r="K20" s="9" t="str">
        <x:v>In stock</x:v>
      </x:c>
      <x:c r="L20" s="9" t="str">
        <x:v>Cut Tape (CT) : 1</x:v>
      </x:c>
      <x:c r="M20" s="9" t="str">
        <x:v>61</x:v>
      </x:c>
      <x:c r="N20" s="9" t="str">
        <x:v>Exact existing project part retained; no new substitution.</x:v>
      </x:c>
      <x:c r="O20" s="9" t="str"/>
      <x:c r="P20" s="9" t="str">
        <x:v>https://www.digikey.com/en/products/detail/samsung-electro-mechanics/CL05C821JB5NNNC/3887385</x:v>
      </x:c>
      <x:c r="Q20" s="9" t="str">
        <x:v>CL05C821JB5NNNC</x:v>
      </x:c>
      <x:c r="R20" s="9" t="str">
        <x:v>Samsung</x:v>
      </x:c>
      <x:c r="S20" s="9" t="str">
        <x:v>Capacitor_SMD:C_0402_1005Metric</x:v>
      </x:c>
      <x:c r="T20" s="9" t="str">
        <x:v>Original part retained</x:v>
      </x:c>
      <x:c r="U20" s="9" t="str">
        <x:v>https://mm.digikey.com/Volume0/opasdata/d220001/medias/docus/658/CL05C821JB5NNNC_Spec.pdf</x:v>
      </x:c>
    </x:row>
    <x:row r="21" ht="48" customHeight="1">
      <x:c r="A21" s="9" t="str">
        <x:v>C17</x:v>
      </x:c>
      <x:c r="B21" s="9" t="str">
        <x:v>0.8p</x:v>
      </x:c>
      <x:c r="C21" s="9" t="str">
        <x:v>GRM1555C1HR80BA01D</x:v>
      </x:c>
      <x:c r="D21" s="9" t="str">
        <x:v>Murata</x:v>
      </x:c>
      <x:c r="E21" s="12" t="n">
        <x:v>1</x:v>
      </x:c>
      <x:c r="F21" s="12" t="n">
        <x:f>E21*$B$4</x:f>
        <x:v>5</x:v>
      </x:c>
      <x:c r="G21" s="9" t="str">
        <x:v>490-6269-1-ND</x:v>
      </x:c>
      <x:c r="H21" s="10" t="n">
        <x:v>0.12</x:v>
      </x:c>
      <x:c r="I21" s="11" t="n">
        <x:f>IF(ISNUMBER(H21),ROUND(F21*H21,2),"")</x:f>
        <x:v>0.6</x:v>
      </x:c>
      <x:c r="J21" s="13" t="n">
        <x:v>207658</x:v>
      </x:c>
      <x:c r="K21" s="9" t="str">
        <x:v>In stock</x:v>
      </x:c>
      <x:c r="L21" s="9" t="str">
        <x:v>Cut Tape (CT) : 1</x:v>
      </x:c>
      <x:c r="M21" s="9" t="str">
        <x:v>17</x:v>
      </x:c>
      <x:c r="N21" s="9" t="str">
        <x:v>Exact existing project part retained; no new substitution.</x:v>
      </x:c>
      <x:c r="O21" s="9" t="str"/>
      <x:c r="P21" s="9" t="str">
        <x:v>https://www.digikey.com/en/products/detail/murata-electronics/GRM1555C1HR80BA01D/3694062</x:v>
      </x:c>
      <x:c r="Q21" s="9" t="str">
        <x:v>GRM1555C1HR80BA01D</x:v>
      </x:c>
      <x:c r="R21" s="9" t="str">
        <x:v>Murata</x:v>
      </x:c>
      <x:c r="S21" s="9" t="str">
        <x:v>Capacitor_SMD:C_0402_1005Metric</x:v>
      </x:c>
      <x:c r="T21" s="9" t="str">
        <x:v>Original part retained</x:v>
      </x:c>
      <x:c r="U21" s="9" t="str">
        <x:v>https://mm.digikey.com/Volume0/opasdata/d220001/medias/docus/8942/Chip_Multilayer_CAT2021_MLCC.pdf</x:v>
      </x:c>
    </x:row>
    <x:row r="22" ht="48" customHeight="1">
      <x:c r="A22" s="9" t="str">
        <x:v>C18</x:v>
      </x:c>
      <x:c r="B22" s="9" t="str">
        <x:v>0.5p</x:v>
      </x:c>
      <x:c r="C22" s="9" t="str">
        <x:v>GRM1555C1HR50WA01D</x:v>
      </x:c>
      <x:c r="D22" s="9" t="str">
        <x:v>Murata</x:v>
      </x:c>
      <x:c r="E22" s="12" t="n">
        <x:v>1</x:v>
      </x:c>
      <x:c r="F22" s="12" t="n">
        <x:f>E22*$B$4</x:f>
        <x:v>5</x:v>
      </x:c>
      <x:c r="G22" s="9" t="str">
        <x:v>490-6264-1-ND</x:v>
      </x:c>
      <x:c r="H22" s="10" t="n">
        <x:v>0.13</x:v>
      </x:c>
      <x:c r="I22" s="11" t="n">
        <x:f>IF(ISNUMBER(H22),ROUND(F22*H22,2),"")</x:f>
        <x:v>0.65</x:v>
      </x:c>
      <x:c r="J22" s="13" t="n">
        <x:v>67</x:v>
      </x:c>
      <x:c r="K22" s="9" t="str">
        <x:v>In stock</x:v>
      </x:c>
      <x:c r="L22" s="9" t="str">
        <x:v>Cut Tape (CT) : 1</x:v>
      </x:c>
      <x:c r="M22" s="9" t="str">
        <x:v>17</x:v>
      </x:c>
      <x:c r="N22" s="9" t="str">
        <x:v>Exact part retained. Only 67 units shown in stock; recheck before purchase.</x:v>
      </x:c>
      <x:c r="O22" s="9" t="str"/>
      <x:c r="P22" s="9" t="str">
        <x:v>https://www.digikey.com/en/products/detail/murata-electronics/GRM1555C1HR50WA01D/3694056</x:v>
      </x:c>
      <x:c r="Q22" s="9" t="str">
        <x:v>GRM1555C1HR50WA01D</x:v>
      </x:c>
      <x:c r="R22" s="9" t="str">
        <x:v>Murata</x:v>
      </x:c>
      <x:c r="S22" s="9" t="str">
        <x:v>Capacitor_SMD:C_0402_1005Metric</x:v>
      </x:c>
      <x:c r="T22" s="9" t="str">
        <x:v>Original part retained</x:v>
      </x:c>
      <x:c r="U22" s="9" t="str">
        <x:v>https://mm.digikey.com/Volume0/opasdata/d220001/medias/docus/8942/Chip_Multilayer_CAT2021_MLCC.pdf</x:v>
      </x:c>
    </x:row>
    <x:row r="23" ht="48" customHeight="1">
      <x:c r="A23" s="9" t="str">
        <x:v>C19</x:v>
      </x:c>
      <x:c r="B23" s="9" t="str">
        <x:v>1.2p</x:v>
      </x:c>
      <x:c r="C23" s="9" t="str">
        <x:v>GRM1555C1H1R2BA01D</x:v>
      </x:c>
      <x:c r="D23" s="9" t="str">
        <x:v>Murata</x:v>
      </x:c>
      <x:c r="E23" s="12" t="n">
        <x:v>1</x:v>
      </x:c>
      <x:c r="F23" s="12" t="n">
        <x:f>E23*$B$4</x:f>
        <x:v>5</x:v>
      </x:c>
      <x:c r="G23" s="9" t="str">
        <x:v>490-6209-1-ND</x:v>
      </x:c>
      <x:c r="H23" s="10" t="n">
        <x:v>0.1</x:v>
      </x:c>
      <x:c r="I23" s="11" t="n">
        <x:f>IF(ISNUMBER(H23),ROUND(F23*H23,2),"")</x:f>
        <x:v>0.5</x:v>
      </x:c>
      <x:c r="J23" s="13" t="n">
        <x:v>168682</x:v>
      </x:c>
      <x:c r="K23" s="9" t="str">
        <x:v>In stock</x:v>
      </x:c>
      <x:c r="L23" s="9" t="str">
        <x:v>Cut Tape (CT) : 1</x:v>
      </x:c>
      <x:c r="M23" s="9" t="str">
        <x:v>17</x:v>
      </x:c>
      <x:c r="N23" s="9" t="str">
        <x:v>Exact existing project part retained; no new substitution.</x:v>
      </x:c>
      <x:c r="O23" s="9" t="str"/>
      <x:c r="P23" s="9" t="str">
        <x:v>https://www.digikey.com/en/products/detail/murata-electronics/GRM1555C1H1R2BA01D/3693934</x:v>
      </x:c>
      <x:c r="Q23" s="9" t="str">
        <x:v>GRM1555C1H1R2BA01D</x:v>
      </x:c>
      <x:c r="R23" s="9" t="str">
        <x:v>Murata</x:v>
      </x:c>
      <x:c r="S23" s="9" t="str">
        <x:v>Capacitor_SMD:C_0402_1005Metric</x:v>
      </x:c>
      <x:c r="T23" s="9" t="str">
        <x:v>Original part retained</x:v>
      </x:c>
      <x:c r="U23" s="9" t="str">
        <x:v>https://mm.digikey.com/Volume0/opasdata/d220001/medias/docus/8942/490_Chip_Multilayer_CAT2021_MLCC.pdf</x:v>
      </x:c>
    </x:row>
    <x:row r="24" ht="90" customHeight="1">
      <x:c r="A24" s="9" t="str">
        <x:v>D1</x:v>
      </x:c>
      <x:c r="B24" s="9" t="str">
        <x:v>LL4148</x:v>
      </x:c>
      <x:c r="C24" s="9" t="str">
        <x:v>LL4148</x:v>
      </x:c>
      <x:c r="D24" s="9" t="str">
        <x:v>onsemi</x:v>
      </x:c>
      <x:c r="E24" s="12" t="n">
        <x:v>1</x:v>
      </x:c>
      <x:c r="F24" s="12" t="n">
        <x:f>E24*$B$4</x:f>
        <x:v>5</x:v>
      </x:c>
      <x:c r="G24" s="9" t="str">
        <x:v>LL4148FSCT-ND</x:v>
      </x:c>
      <x:c r="H24" s="10" t="n">
        <x:v>0.12</x:v>
      </x:c>
      <x:c r="I24" s="11" t="n">
        <x:f>IF(ISNUMBER(H24),ROUND(F24*H24,2),"")</x:f>
        <x:v>0.6</x:v>
      </x:c>
      <x:c r="J24" s="13" t="n">
        <x:v>2122446</x:v>
      </x:c>
      <x:c r="K24" s="9" t="str">
        <x:v>In stock</x:v>
      </x:c>
      <x:c r="L24" s="9" t="str">
        <x:v>Cut Tape (CT) : 1</x:v>
      </x:c>
      <x:c r="M24" s="9" t="str">
        <x:v>62</x:v>
      </x:c>
      <x:c r="N24" s="9" t="str">
        <x:v>LL4148 MiniMELF/SOD-80: length 3.4±0.2 mm, diameter 1.4±0.1 mm; fits 1.3 x 1.7 mm pads at 3.5 mm pitch. Cathode band to pad 1/SENS_OUT; anode to pad 2/CPARA. 100 V, 200 mA, ≤4 ns recovery, ≤4 pF, ≤25 nA leakage at 20 V/25°C. Soil calibration is a prototype check.</x:v>
      </x:c>
      <x:c r="O24" s="9" t="str"/>
      <x:c r="P24" s="9" t="str">
        <x:v>https://www.digikey.com/en/products/detail/onsemi/LL4148/1923046</x:v>
      </x:c>
      <x:c r="Q24" s="9" t="str">
        <x:v>LL4148</x:v>
      </x:c>
      <x:c r="R24" s="9" t="str">
        <x:v>Semtech</x:v>
      </x:c>
      <x:c r="S24" s="9" t="str">
        <x:v>Diode_SMD:D_MiniMELF</x:v>
      </x:c>
      <x:c r="T24" s="9" t="str">
        <x:v>Reviewed equivalent</x:v>
      </x:c>
      <x:c r="U24" s="9" t="str">
        <x:v>https://www.onsemi.com/pub/Collateral/LL4148-D.PDF</x:v>
      </x:c>
    </x:row>
    <x:row r="25" ht="90" customHeight="1">
      <x:c r="A25" s="9" t="str">
        <x:v>D2</x:v>
      </x:c>
      <x:c r="B25" s="9" t="str">
        <x:v>LED</x:v>
      </x:c>
      <x:c r="C25" s="9" t="str">
        <x:v>LTST-C190KRKT</x:v>
      </x:c>
      <x:c r="D25" s="9" t="str">
        <x:v>Lite-On</x:v>
      </x:c>
      <x:c r="E25" s="12" t="n">
        <x:v>1</x:v>
      </x:c>
      <x:c r="F25" s="12" t="n">
        <x:f>E25*$B$4</x:f>
        <x:v>5</x:v>
      </x:c>
      <x:c r="G25" s="9" t="str">
        <x:v>160-1436-1-ND</x:v>
      </x:c>
      <x:c r="H25" s="10" t="n">
        <x:v>0.14</x:v>
      </x:c>
      <x:c r="I25" s="11" t="n">
        <x:f>IF(ISNUMBER(H25),ROUND(F25*H25,2),"")</x:f>
        <x:v>0.7</x:v>
      </x:c>
      <x:c r="J25" s="13" t="n">
        <x:v>1042472</x:v>
      </x:c>
      <x:c r="K25" s="9" t="str">
        <x:v>In stock</x:v>
      </x:c>
      <x:c r="L25" s="9" t="str">
        <x:v>Cut Tape (CT) : 1</x:v>
      </x:c>
      <x:c r="M25" s="9" t="str">
        <x:v>14</x:v>
      </x:c>
      <x:c r="N25" s="9" t="str">
        <x:v>Red 631 nm LED, 1.6 x 0.8 mm. Fits 0603 pads 0.875 x 0.95 mm at 1.575 mm pitch. Cathode mark to pad 1/GND; anode to pad 2/R2. Vf typ 2 V; R2=1 kΩ gives about 1 mA at 3 V, below 25 mA rating. Brightness may differ. −30 to +85°C.</x:v>
      </x:c>
      <x:c r="O25" s="9" t="str"/>
      <x:c r="P25" s="9" t="str">
        <x:v>https://www.digikey.com/en/products/detail/liteon/LTST-C190KRKT/386817</x:v>
      </x:c>
      <x:c r="Q25" s="9" t="str">
        <x:v>KT-0603R</x:v>
      </x:c>
      <x:c r="R25" s="9" t="str">
        <x:v>Hubei KENTO</x:v>
      </x:c>
      <x:c r="S25" s="9" t="str">
        <x:v>LED_SMD:LED_0603_1608Metric</x:v>
      </x:c>
      <x:c r="T25" s="9" t="str">
        <x:v>Reviewed equivalent</x:v>
      </x:c>
      <x:c r="U25" s="9" t="str">
        <x:v>https://optoelectronics.liteon.com/upload/download/DS-22-99-0151/LTST-C190KRKT.pdf</x:v>
      </x:c>
    </x:row>
    <x:row r="26" ht="48" customHeight="1">
      <x:c r="A26" s="9" t="str">
        <x:v>L1</x:v>
      </x:c>
      <x:c r="B26" s="9" t="str">
        <x:v>10u</x:v>
      </x:c>
      <x:c r="C26" s="9" t="str">
        <x:v>MLZ1608M100WTD25</x:v>
      </x:c>
      <x:c r="D26" s="9" t="str">
        <x:v>TDK</x:v>
      </x:c>
      <x:c r="E26" s="12" t="n">
        <x:v>1</x:v>
      </x:c>
      <x:c r="F26" s="12" t="n">
        <x:f>E26*$B$4</x:f>
        <x:v>5</x:v>
      </x:c>
      <x:c r="G26" s="9" t="str">
        <x:v>445-175588-1-ND</x:v>
      </x:c>
      <x:c r="H26" s="10" t="n">
        <x:v>0.14</x:v>
      </x:c>
      <x:c r="I26" s="11" t="n">
        <x:f>IF(ISNUMBER(H26),ROUND(F26*H26,2),"")</x:f>
        <x:v>0.7</x:v>
      </x:c>
      <x:c r="J26" s="13" t="n">
        <x:v>12270</x:v>
      </x:c>
      <x:c r="K26" s="9" t="str">
        <x:v>In stock</x:v>
      </x:c>
      <x:c r="L26" s="9" t="str">
        <x:v>Cut Tape (CT) : 1</x:v>
      </x:c>
      <x:c r="M26" s="9" t="str">
        <x:v>15</x:v>
      </x:c>
      <x:c r="N26" s="9" t="str">
        <x:v>Exact existing project part retained; no new substitution.</x:v>
      </x:c>
      <x:c r="O26" s="9" t="str"/>
      <x:c r="P26" s="9" t="str">
        <x:v>https://www.digikey.com/en/products/detail/tdk/MLZ1608M100WTD25/4743176</x:v>
      </x:c>
      <x:c r="Q26" s="9" t="str">
        <x:v>MLZ1608M100WTD25</x:v>
      </x:c>
      <x:c r="R26" s="9" t="str">
        <x:v>TDK</x:v>
      </x:c>
      <x:c r="S26" s="9" t="str">
        <x:v>Inductor_SMD:L_0603_1608Metric</x:v>
      </x:c>
      <x:c r="T26" s="9" t="str">
        <x:v>Original part retained</x:v>
      </x:c>
      <x:c r="U26" s="9" t="str">
        <x:v>https://product.tdk.com/en/system/files?file=dam/doc/product/inductor/inductor/smd/catalog/inductor_automotive_decoupling_mlz1608_en.pdf</x:v>
      </x:c>
    </x:row>
    <x:row r="27" ht="48" customHeight="1">
      <x:c r="A27" s="9" t="str">
        <x:v>L2</x:v>
      </x:c>
      <x:c r="B27" s="9" t="str">
        <x:v>15n</x:v>
      </x:c>
      <x:c r="C27" s="9" t="str">
        <x:v>LQG15HS15NJ02D</x:v>
      </x:c>
      <x:c r="D27" s="9" t="str">
        <x:v>Murata</x:v>
      </x:c>
      <x:c r="E27" s="12" t="n">
        <x:v>1</x:v>
      </x:c>
      <x:c r="F27" s="12" t="n">
        <x:f>E27*$B$4</x:f>
        <x:v>5</x:v>
      </x:c>
      <x:c r="G27" s="9" t="str">
        <x:v>490-2625-1-ND</x:v>
      </x:c>
      <x:c r="H27" s="10" t="n">
        <x:v>0.1</x:v>
      </x:c>
      <x:c r="I27" s="11" t="n">
        <x:f>IF(ISNUMBER(H27),ROUND(F27*H27,2),"")</x:f>
        <x:v>0.5</x:v>
      </x:c>
      <x:c r="J27" s="13" t="n">
        <x:v>104118</x:v>
      </x:c>
      <x:c r="K27" s="9" t="str">
        <x:v>In stock</x:v>
      </x:c>
      <x:c r="L27" s="9" t="str">
        <x:v>Cut Tape (CT) : 1</x:v>
      </x:c>
      <x:c r="M27" s="9" t="str">
        <x:v>21</x:v>
      </x:c>
      <x:c r="N27" s="9" t="str">
        <x:v>Exact existing project part retained; no new substitution.</x:v>
      </x:c>
      <x:c r="O27" s="9" t="str"/>
      <x:c r="P27" s="9" t="str">
        <x:v>https://www.digikey.com/en/products/detail/murata-electronics/LQG15HS15NJ02D/662874</x:v>
      </x:c>
      <x:c r="Q27" s="9" t="str">
        <x:v>LQG15HS15NJ02D</x:v>
      </x:c>
      <x:c r="R27" s="9" t="str">
        <x:v>Murata</x:v>
      </x:c>
      <x:c r="S27" s="9" t="str">
        <x:v>Inductor_SMD:L_0402_1005Metric</x:v>
      </x:c>
      <x:c r="T27" s="9" t="str">
        <x:v>Original part retained</x:v>
      </x:c>
      <x:c r="U27" s="9" t="str">
        <x:v>https://pim.murata.com/asset/pim4/inductor/JELF243B-0010_PDF_INDUCTOR</x:v>
      </x:c>
    </x:row>
    <x:row r="28" ht="48" customHeight="1">
      <x:c r="A28" s="9" t="str">
        <x:v>L3</x:v>
      </x:c>
      <x:c r="B28" s="9" t="str">
        <x:v>4.7n</x:v>
      </x:c>
      <x:c r="C28" s="9" t="str">
        <x:v>LQG15HS4N7B02D</x:v>
      </x:c>
      <x:c r="D28" s="9" t="str">
        <x:v>Murata</x:v>
      </x:c>
      <x:c r="E28" s="12" t="n">
        <x:v>1</x:v>
      </x:c>
      <x:c r="F28" s="12" t="n">
        <x:f>E28*$B$4</x:f>
        <x:v>5</x:v>
      </x:c>
      <x:c r="G28" s="9" t="str">
        <x:v>490-LQG15HS4N7B02DCT-ND</x:v>
      </x:c>
      <x:c r="H28" s="10" t="n">
        <x:v>0.1</x:v>
      </x:c>
      <x:c r="I28" s="11" t="n">
        <x:f>IF(ISNUMBER(H28),ROUND(F28*H28,2),"")</x:f>
        <x:v>0.5</x:v>
      </x:c>
      <x:c r="J28" s="13" t="n">
        <x:v>204225</x:v>
      </x:c>
      <x:c r="K28" s="9" t="str">
        <x:v>In stock</x:v>
      </x:c>
      <x:c r="L28" s="9" t="str">
        <x:v>Cut Tape (CT) : 1</x:v>
      </x:c>
      <x:c r="M28" s="9" t="str">
        <x:v>21</x:v>
      </x:c>
      <x:c r="N28" s="9" t="str">
        <x:v>Exact existing project part retained; no new substitution.</x:v>
      </x:c>
      <x:c r="O28" s="9" t="str"/>
      <x:c r="P28" s="9" t="str">
        <x:v>https://www.digikey.com/en/products/detail/murata-electronics/LQG15HS4N7B02D/13688543</x:v>
      </x:c>
      <x:c r="Q28" s="9" t="str">
        <x:v>LQG15HS4N7B02D</x:v>
      </x:c>
      <x:c r="R28" s="9" t="str">
        <x:v>Murata</x:v>
      </x:c>
      <x:c r="S28" s="9" t="str">
        <x:v>Inductor_SMD:L_0402_1005Metric</x:v>
      </x:c>
      <x:c r="T28" s="9" t="str">
        <x:v>Original part retained</x:v>
      </x:c>
      <x:c r="U28" s="9" t="str">
        <x:v>https://pim.murata.com/asset/pim4/inductor/JELF243B-0010_PDF_INDUCTOR</x:v>
      </x:c>
    </x:row>
    <x:row r="29" ht="48" customHeight="1">
      <x:c r="A29" s="9" t="str">
        <x:v>L4</x:v>
      </x:c>
      <x:c r="B29" s="9" t="str">
        <x:v>2.7n</x:v>
      </x:c>
      <x:c r="C29" s="9" t="str">
        <x:v>LQG15HS2N7S02D</x:v>
      </x:c>
      <x:c r="D29" s="9" t="str">
        <x:v>Murata</x:v>
      </x:c>
      <x:c r="E29" s="12" t="n">
        <x:v>1</x:v>
      </x:c>
      <x:c r="F29" s="12" t="n">
        <x:f>E29*$B$4</x:f>
        <x:v>5</x:v>
      </x:c>
      <x:c r="G29" s="9" t="str">
        <x:v>490-2615-1-ND</x:v>
      </x:c>
      <x:c r="H29" s="10" t="n">
        <x:v>0.1</x:v>
      </x:c>
      <x:c r="I29" s="11" t="n">
        <x:f>IF(ISNUMBER(H29),ROUND(F29*H29,2),"")</x:f>
        <x:v>0.5</x:v>
      </x:c>
      <x:c r="J29" s="13" t="n">
        <x:v>75992</x:v>
      </x:c>
      <x:c r="K29" s="9" t="str">
        <x:v>In stock</x:v>
      </x:c>
      <x:c r="L29" s="9" t="str">
        <x:v>Cut Tape (CT) : 1</x:v>
      </x:c>
      <x:c r="M29" s="9" t="str">
        <x:v>21</x:v>
      </x:c>
      <x:c r="N29" s="9" t="str">
        <x:v>Exact existing project part retained; no new substitution.</x:v>
      </x:c>
      <x:c r="O29" s="9" t="str"/>
      <x:c r="P29" s="9" t="str">
        <x:v>https://www.digikey.com/en/products/detail/murata-electronics/LQG15HS2N7S02D/662864</x:v>
      </x:c>
      <x:c r="Q29" s="9" t="str">
        <x:v>LQG15HS2N7S02D</x:v>
      </x:c>
      <x:c r="R29" s="9" t="str">
        <x:v>Murata</x:v>
      </x:c>
      <x:c r="S29" s="9" t="str">
        <x:v>Inductor_SMD:L_0402_1005Metric</x:v>
      </x:c>
      <x:c r="T29" s="9" t="str">
        <x:v>Original part retained</x:v>
      </x:c>
      <x:c r="U29" s="9" t="str">
        <x:v>https://pim.murata.com/asset/pim4/inductor/JELF243B-0010_PDF_INDUCTOR</x:v>
      </x:c>
    </x:row>
    <x:row r="30" ht="48" customHeight="1">
      <x:c r="A30" s="9" t="str">
        <x:v>L5</x:v>
      </x:c>
      <x:c r="B30" s="9" t="str">
        <x:v>3.3n</x:v>
      </x:c>
      <x:c r="C30" s="9" t="str">
        <x:v>LQG15HS3N3S02D</x:v>
      </x:c>
      <x:c r="D30" s="9" t="str">
        <x:v>Murata</x:v>
      </x:c>
      <x:c r="E30" s="12" t="n">
        <x:v>1</x:v>
      </x:c>
      <x:c r="F30" s="12" t="n">
        <x:f>E30*$B$4</x:f>
        <x:v>5</x:v>
      </x:c>
      <x:c r="G30" s="9" t="str">
        <x:v>490-2616-1-ND</x:v>
      </x:c>
      <x:c r="H30" s="10" t="n">
        <x:v>0.1</x:v>
      </x:c>
      <x:c r="I30" s="11" t="n">
        <x:f>IF(ISNUMBER(H30),ROUND(F30*H30,2),"")</x:f>
        <x:v>0.5</x:v>
      </x:c>
      <x:c r="J30" s="13" t="n">
        <x:v>37534</x:v>
      </x:c>
      <x:c r="K30" s="9" t="str">
        <x:v>In stock</x:v>
      </x:c>
      <x:c r="L30" s="9" t="str">
        <x:v>Cut Tape (CT) : 1</x:v>
      </x:c>
      <x:c r="M30" s="9" t="str">
        <x:v>21</x:v>
      </x:c>
      <x:c r="N30" s="9" t="str">
        <x:v>Exact existing project part retained; no new substitution.</x:v>
      </x:c>
      <x:c r="O30" s="9" t="str"/>
      <x:c r="P30" s="9" t="str">
        <x:v>https://www.digikey.com/en/products/detail/murata-electronics/LQG15HS3N3S02D/662865</x:v>
      </x:c>
      <x:c r="Q30" s="9" t="str">
        <x:v>LQG15HS3N3S02D</x:v>
      </x:c>
      <x:c r="R30" s="9" t="str">
        <x:v>Murata</x:v>
      </x:c>
      <x:c r="S30" s="9" t="str">
        <x:v>Inductor_SMD:L_0402_1005Metric</x:v>
      </x:c>
      <x:c r="T30" s="9" t="str">
        <x:v>Original part retained</x:v>
      </x:c>
      <x:c r="U30" s="9" t="str">
        <x:v>https://pim.murata.com/asset/pim4/inductor/JELF243B-0010_PDF_INDUCTOR</x:v>
      </x:c>
    </x:row>
    <x:row r="31" ht="90" customHeight="1">
      <x:c r="A31" s="9" t="str">
        <x:v>Q1</x:v>
      </x:c>
      <x:c r="B31" s="9" t="str">
        <x:v>MMBT3906</x:v>
      </x:c>
      <x:c r="C31" s="9" t="str">
        <x:v>MMBT3906LT1G</x:v>
      </x:c>
      <x:c r="D31" s="9" t="str">
        <x:v>onsemi</x:v>
      </x:c>
      <x:c r="E31" s="12" t="n">
        <x:v>1</x:v>
      </x:c>
      <x:c r="F31" s="12" t="n">
        <x:f>E31*$B$4</x:f>
        <x:v>5</x:v>
      </x:c>
      <x:c r="G31" s="9" t="str">
        <x:v>MMBT3906LT1GOSCT-ND</x:v>
      </x:c>
      <x:c r="H31" s="10" t="n">
        <x:v>0.15</x:v>
      </x:c>
      <x:c r="I31" s="11" t="n">
        <x:f>IF(ISNUMBER(H31),ROUND(F31*H31,2),"")</x:f>
        <x:v>0.75</x:v>
      </x:c>
      <x:c r="J31" s="13" t="n">
        <x:v>772778</x:v>
      </x:c>
      <x:c r="K31" s="9" t="str">
        <x:v>In stock</x:v>
      </x:c>
      <x:c r="L31" s="9" t="str">
        <x:v>Cut Tape (CT) : 1</x:v>
      </x:c>
      <x:c r="M31" s="9" t="str">
        <x:v>78</x:v>
      </x:c>
      <x:c r="N31" s="9" t="str">
        <x:v>MMBT3906LT1G PNP 40 V/200 mA; SOT-23 1=B, 2=E, 3=C matches R4/CPARA/GND. Lead pitch 1.90 mm; body 2.8–3.04 x 1.2–1.4 mm fits existing pads. hFE≥100 at 10 mA/1 V. Preserves sensing discharge function; calibrate soil response on prototype.</x:v>
      </x:c>
      <x:c r="O31" s="9" t="str"/>
      <x:c r="P31" s="9" t="str">
        <x:v>https://www.digikey.com/en/products/detail/onsemi/MMBT3906LT1G/919605</x:v>
      </x:c>
      <x:c r="Q31" s="9" t="str">
        <x:v>MMBT3906</x:v>
      </x:c>
      <x:c r="R31" s="9" t="str">
        <x:v>JSCJ</x:v>
      </x:c>
      <x:c r="S31" s="9" t="str">
        <x:v>Package_TO_SOT_SMD:SOT-23</x:v>
      </x:c>
      <x:c r="T31" s="9" t="str">
        <x:v>Reviewed equivalent</x:v>
      </x:c>
      <x:c r="U31" s="9" t="str">
        <x:v>https://www.onsemi.com/pdf/datasheet/mmbt3906lt1-d.pdf</x:v>
      </x:c>
    </x:row>
    <x:row r="32" ht="48" customHeight="1">
      <x:c r="A32" s="9" t="str">
        <x:v>Q4</x:v>
      </x:c>
      <x:c r="B32" s="9" t="str">
        <x:v>Q_Photo_NPN</x:v>
      </x:c>
      <x:c r="C32" s="9" t="str">
        <x:v>ALS-PT19-315C/L177/TR8</x:v>
      </x:c>
      <x:c r="D32" s="9" t="str">
        <x:v>Everlight</x:v>
      </x:c>
      <x:c r="E32" s="12" t="n">
        <x:v>1</x:v>
      </x:c>
      <x:c r="F32" s="12" t="n">
        <x:f>E32*$B$4</x:f>
        <x:v>5</x:v>
      </x:c>
      <x:c r="G32" s="9" t="str">
        <x:v>1080-1244-1-ND</x:v>
      </x:c>
      <x:c r="H32" s="10" t="n">
        <x:v>0.324</x:v>
      </x:c>
      <x:c r="I32" s="11" t="n">
        <x:f>IF(ISNUMBER(H32),ROUND(F32*H32,2),"")</x:f>
        <x:v>1.62</x:v>
      </x:c>
      <x:c r="J32" s="13" t="n">
        <x:v>61140</x:v>
      </x:c>
      <x:c r="K32" s="9" t="str">
        <x:v>In stock</x:v>
      </x:c>
      <x:c r="L32" s="9" t="str">
        <x:v>Cut Tape (CT) : 1</x:v>
      </x:c>
      <x:c r="M32" s="9" t="str">
        <x:v>23</x:v>
      </x:c>
      <x:c r="N32" s="9" t="str">
        <x:v>Exact existing project part retained; no new substitution.</x:v>
      </x:c>
      <x:c r="O32" s="9" t="str"/>
      <x:c r="P32" s="9" t="str">
        <x:v>https://www.digikey.com/en/products/detail/everlight-electronics-co-ltd/ALS-PT19-315C-L177-TR8/2675735</x:v>
      </x:c>
      <x:c r="Q32" s="9" t="str">
        <x:v>ALS-PT19-315C/L177/TR8</x:v>
      </x:c>
      <x:c r="R32" s="9" t="str"/>
      <x:c r="S32" s="9" t="str">
        <x:v>snapeda:TR8</x:v>
      </x:c>
      <x:c r="T32" s="9" t="str">
        <x:v>Original part retained</x:v>
      </x:c>
      <x:c r="U32" s="9" t="str">
        <x:v>https://www.everlighteurope.com/custom/files/datasheets/DLS-0000039.pdf</x:v>
      </x:c>
    </x:row>
    <x:row r="33" ht="48" customHeight="1">
      <x:c r="A33" s="9" t="str">
        <x:v>R1,R4,R7,R8</x:v>
      </x:c>
      <x:c r="B33" s="9" t="str">
        <x:v>10k</x:v>
      </x:c>
      <x:c r="C33" s="9" t="str">
        <x:v>RC0402FR-0710KL</x:v>
      </x:c>
      <x:c r="D33" s="9" t="str">
        <x:v>YAGEO</x:v>
      </x:c>
      <x:c r="E33" s="12" t="n">
        <x:v>4</x:v>
      </x:c>
      <x:c r="F33" s="12" t="n">
        <x:f>E33*$B$4</x:f>
        <x:v>20</x:v>
      </x:c>
      <x:c r="G33" s="9" t="str">
        <x:v>311-10.0KLRCT-ND</x:v>
      </x:c>
      <x:c r="H33" s="10" t="n">
        <x:v>0.021</x:v>
      </x:c>
      <x:c r="I33" s="11" t="n">
        <x:f>IF(ISNUMBER(H33),ROUND(F33*H33,2),"")</x:f>
        <x:v>0.42</x:v>
      </x:c>
      <x:c r="J33" s="13" t="n">
        <x:v>9960119</x:v>
      </x:c>
      <x:c r="K33" s="9" t="str">
        <x:v>In stock</x:v>
      </x:c>
      <x:c r="L33" s="9" t="str">
        <x:v>Cut Tape (CT) : 1</x:v>
      </x:c>
      <x:c r="M33" s="9" t="str">
        <x:v>22</x:v>
      </x:c>
      <x:c r="N33" s="9" t="str">
        <x:v>10 kΩ ±1%, 1/16 W, 50 V, ±100 ppm/°C. 0402 body 1.0 x 0.5 mm fits pads 0.54 x 0.64 mm / 1.02 mm pitch. Preserves PWM/base resistors and I2C pull-ups.</x:v>
      </x:c>
      <x:c r="O33" s="9" t="str"/>
      <x:c r="P33" s="9" t="str">
        <x:v>https://www.digikey.com/en/products/detail/yageo/RC0402FR-0710KL/726523</x:v>
      </x:c>
      <x:c r="Q33" s="9" t="str">
        <x:v>0402WGF1002TCE</x:v>
      </x:c>
      <x:c r="R33" s="9" t="str">
        <x:v>UNI-ROYAL</x:v>
      </x:c>
      <x:c r="S33" s="9" t="str">
        <x:v>Resistor_SMD:R_0402_1005Metric</x:v>
      </x:c>
      <x:c r="T33" s="9" t="str">
        <x:v>Reviewed equivalent</x:v>
      </x:c>
      <x:c r="U33" s="9" t="str">
        <x:v>https://yageogroup.com/content/datasheet/asset/file/PYU-RC_GROUP_51_ROHS_L</x:v>
      </x:c>
    </x:row>
    <x:row r="34" ht="48" customHeight="1">
      <x:c r="A34" s="9" t="str">
        <x:v>R2</x:v>
      </x:c>
      <x:c r="B34" s="9" t="str">
        <x:v>1k</x:v>
      </x:c>
      <x:c r="C34" s="9" t="str">
        <x:v>RC0402FR-071KL</x:v>
      </x:c>
      <x:c r="D34" s="9" t="str">
        <x:v>YAGEO</x:v>
      </x:c>
      <x:c r="E34" s="12" t="n">
        <x:v>1</x:v>
      </x:c>
      <x:c r="F34" s="12" t="n">
        <x:f>E34*$B$4</x:f>
        <x:v>5</x:v>
      </x:c>
      <x:c r="G34" s="9" t="str">
        <x:v>311-1.00KLRCT-ND</x:v>
      </x:c>
      <x:c r="H34" s="10" t="n">
        <x:v>0.1</x:v>
      </x:c>
      <x:c r="I34" s="11" t="n">
        <x:f>IF(ISNUMBER(H34),ROUND(F34*H34,2),"")</x:f>
        <x:v>0.5</x:v>
      </x:c>
      <x:c r="J34" s="13" t="n">
        <x:v>3775017</x:v>
      </x:c>
      <x:c r="K34" s="9" t="str">
        <x:v>In stock</x:v>
      </x:c>
      <x:c r="L34" s="9" t="str">
        <x:v>Cut Tape (CT) : 1</x:v>
      </x:c>
      <x:c r="M34" s="9" t="str">
        <x:v>22</x:v>
      </x:c>
      <x:c r="N34" s="9" t="str">
        <x:v>1 kΩ ±1%, 1/16 W, 50 V, ±100 ppm/°C. Same 0402 footprint. LED current limit unchanged; full 3.6 V across resistor dissipates only 13 mW.</x:v>
      </x:c>
      <x:c r="O34" s="9" t="str"/>
      <x:c r="P34" s="9" t="str">
        <x:v>https://www.digikey.com/en/products/detail/yageo/RC0402FR-071KL/726513</x:v>
      </x:c>
      <x:c r="Q34" s="9" t="str">
        <x:v>0402WGF1001TCE</x:v>
      </x:c>
      <x:c r="R34" s="9" t="str">
        <x:v>UNI-ROYAL</x:v>
      </x:c>
      <x:c r="S34" s="9" t="str">
        <x:v>Resistor_SMD:R_0402_1005Metric</x:v>
      </x:c>
      <x:c r="T34" s="9" t="str">
        <x:v>Reviewed equivalent</x:v>
      </x:c>
      <x:c r="U34" s="9" t="str">
        <x:v>https://yageogroup.com/content/datasheet/asset/file/PYU-RC_GROUP_51_ROHS_L</x:v>
      </x:c>
    </x:row>
    <x:row r="35" ht="48" customHeight="1">
      <x:c r="A35" s="9" t="str">
        <x:v>R6</x:v>
      </x:c>
      <x:c r="B35" s="9" t="str">
        <x:v>1M</x:v>
      </x:c>
      <x:c r="C35" s="9" t="str">
        <x:v>RC0402FR-071ML</x:v>
      </x:c>
      <x:c r="D35" s="9" t="str">
        <x:v>YAGEO</x:v>
      </x:c>
      <x:c r="E35" s="12" t="n">
        <x:v>1</x:v>
      </x:c>
      <x:c r="F35" s="12" t="n">
        <x:f>E35*$B$4</x:f>
        <x:v>5</x:v>
      </x:c>
      <x:c r="G35" s="9" t="str">
        <x:v>311-1.00MLRCT-ND</x:v>
      </x:c>
      <x:c r="H35" s="10" t="n">
        <x:v>0.1</x:v>
      </x:c>
      <x:c r="I35" s="11" t="n">
        <x:f>IF(ISNUMBER(H35),ROUND(F35*H35,2),"")</x:f>
        <x:v>0.5</x:v>
      </x:c>
      <x:c r="J35" s="13" t="n">
        <x:v>880851</x:v>
      </x:c>
      <x:c r="K35" s="9" t="str">
        <x:v>In stock</x:v>
      </x:c>
      <x:c r="L35" s="9" t="str">
        <x:v>Cut Tape (CT) : 1</x:v>
      </x:c>
      <x:c r="M35" s="9" t="str">
        <x:v>22</x:v>
      </x:c>
      <x:c r="N35" s="9" t="str">
        <x:v>1 MΩ ±1%, 1/16 W, 50 V, ±100 ppm/°C. Same 0402 footprint. Preserves SENS_OUT discharge resistance; nominal C1×R6 remains 1 ms.</x:v>
      </x:c>
      <x:c r="O35" s="9" t="str"/>
      <x:c r="P35" s="9" t="str">
        <x:v>https://www.digikey.com/en/products/detail/yageo/RC0402FR-071ML/726515</x:v>
      </x:c>
      <x:c r="Q35" s="9" t="str">
        <x:v>0402WGF1004TCE</x:v>
      </x:c>
      <x:c r="R35" s="9" t="str">
        <x:v>UNI-ROYAL</x:v>
      </x:c>
      <x:c r="S35" s="9" t="str">
        <x:v>Resistor_SMD:R_0402_1005Metric</x:v>
      </x:c>
      <x:c r="T35" s="9" t="str">
        <x:v>Reviewed equivalent</x:v>
      </x:c>
      <x:c r="U35" s="9" t="str">
        <x:v>https://yageogroup.com/content/datasheet/asset/file/PYU-RC_GROUP_51_ROHS_L</x:v>
      </x:c>
    </x:row>
    <x:row r="36" ht="48" customHeight="1">
      <x:c r="A36" s="9" t="str">
        <x:v>R10</x:v>
      </x:c>
      <x:c r="B36" s="9" t="str">
        <x:v>470</x:v>
      </x:c>
      <x:c r="C36" s="9" t="str">
        <x:v>RC0402FR-07470RL</x:v>
      </x:c>
      <x:c r="D36" s="9" t="str">
        <x:v>YAGEO</x:v>
      </x:c>
      <x:c r="E36" s="12" t="n">
        <x:v>1</x:v>
      </x:c>
      <x:c r="F36" s="12" t="n">
        <x:f>E36*$B$4</x:f>
        <x:v>5</x:v>
      </x:c>
      <x:c r="G36" s="9" t="str">
        <x:v>311-470LRCT-ND</x:v>
      </x:c>
      <x:c r="H36" s="10" t="n">
        <x:v>0.1</x:v>
      </x:c>
      <x:c r="I36" s="11" t="n">
        <x:f>IF(ISNUMBER(H36),ROUND(F36*H36,2),"")</x:f>
        <x:v>0.5</x:v>
      </x:c>
      <x:c r="J36" s="13" t="n">
        <x:v>589959</x:v>
      </x:c>
      <x:c r="K36" s="9" t="str">
        <x:v>In stock</x:v>
      </x:c>
      <x:c r="L36" s="9" t="str">
        <x:v>Cut Tape (CT) : 1</x:v>
      </x:c>
      <x:c r="M36" s="9" t="str">
        <x:v>22</x:v>
      </x:c>
      <x:c r="N36" s="9" t="str">
        <x:v>470 Ω ±1%, 1/16 W, 50 V, ±100 ppm/°C. Same 0402 footprint; phototransistor load unchanged. Full 3.6 V worst case is 27.6 mW, below 62.5 mW rating.</x:v>
      </x:c>
      <x:c r="O36" s="9" t="str"/>
      <x:c r="P36" s="9" t="str">
        <x:v>https://www.digikey.com/en/products/detail/yageo/RC0402FR-07470RL/726619</x:v>
      </x:c>
      <x:c r="Q36" s="9" t="str">
        <x:v>0402WGF4700TCE</x:v>
      </x:c>
      <x:c r="R36" s="9" t="str">
        <x:v>UNI-ROYAL</x:v>
      </x:c>
      <x:c r="S36" s="9" t="str">
        <x:v>Resistor_SMD:R_0402_1005Metric</x:v>
      </x:c>
      <x:c r="T36" s="9" t="str">
        <x:v>Reviewed equivalent</x:v>
      </x:c>
      <x:c r="U36" s="9" t="str">
        <x:v>https://yageogroup.com/content/datasheet/asset/file/PYU-RC_GROUP_51_ROHS_L</x:v>
      </x:c>
    </x:row>
    <x:row r="37" ht="48" customHeight="1">
      <x:c r="A37" s="9" t="str">
        <x:v>RST1,SW1</x:v>
      </x:c>
      <x:c r="B37" s="9" t="str">
        <x:v>B3U-1000P</x:v>
      </x:c>
      <x:c r="C37" s="9" t="str">
        <x:v>B3U-1000P</x:v>
      </x:c>
      <x:c r="D37" s="9" t="str">
        <x:v>Omron</x:v>
      </x:c>
      <x:c r="E37" s="12" t="n">
        <x:v>2</x:v>
      </x:c>
      <x:c r="F37" s="12" t="n">
        <x:f>E37*$B$4</x:f>
        <x:v>10</x:v>
      </x:c>
      <x:c r="G37" s="9" t="str">
        <x:v>SW1020CT-ND</x:v>
      </x:c>
      <x:c r="H37" s="10" t="n">
        <x:v>0.997</x:v>
      </x:c>
      <x:c r="I37" s="11" t="n">
        <x:f>IF(ISNUMBER(H37),ROUND(F37*H37,2),"")</x:f>
        <x:v>9.97</x:v>
      </x:c>
      <x:c r="J37" s="13" t="n">
        <x:v>114288</x:v>
      </x:c>
      <x:c r="K37" s="9" t="str">
        <x:v>In stock</x:v>
      </x:c>
      <x:c r="L37" s="9" t="str">
        <x:v>Cut Tape (CT) : 1</x:v>
      </x:c>
      <x:c r="M37" s="9" t="str">
        <x:v>26</x:v>
      </x:c>
      <x:c r="N37" s="9" t="str">
        <x:v>Exact existing project part retained; no new substitution.</x:v>
      </x:c>
      <x:c r="O37" s="9" t="str"/>
      <x:c r="P37" s="9" t="str">
        <x:v>https://www.digikey.com/en/products/detail/aratas-formerly-omron-components/B3U-1000P/1534338</x:v>
      </x:c>
      <x:c r="Q37" s="9" t="str">
        <x:v>B3U-1000P</x:v>
      </x:c>
      <x:c r="R37" s="9" t="str">
        <x:v>Omron</x:v>
      </x:c>
      <x:c r="S37" s="9" t="str">
        <x:v>snapeda:SW_B3U-1000P</x:v>
      </x:c>
      <x:c r="T37" s="9" t="str">
        <x:v>Original part retained</x:v>
      </x:c>
      <x:c r="U37" s="9" t="str">
        <x:v>https://omronfs.omron.com/en_US/ecb/products/pdf/en-b3u.pdf</x:v>
      </x:c>
    </x:row>
    <x:row r="38" ht="48" customHeight="1">
      <x:c r="A38" s="9" t="str">
        <x:v>U1</x:v>
      </x:c>
      <x:c r="B38" s="9" t="str">
        <x:v>nRF52840-QIAA</x:v>
      </x:c>
      <x:c r="C38" s="9" t="str">
        <x:v>NRF52840-QIAA-R</x:v>
      </x:c>
      <x:c r="D38" s="9" t="str">
        <x:v>Nordic Semiconductor</x:v>
      </x:c>
      <x:c r="E38" s="12" t="n">
        <x:v>1</x:v>
      </x:c>
      <x:c r="F38" s="12" t="n">
        <x:f>E38*$B$4</x:f>
        <x:v>5</x:v>
      </x:c>
      <x:c r="G38" s="9" t="str">
        <x:v>4823-NRF52840-QIAA-RCT-ND</x:v>
      </x:c>
      <x:c r="H38" s="10" t="n">
        <x:v>7.69</x:v>
      </x:c>
      <x:c r="I38" s="11" t="n">
        <x:f>IF(ISNUMBER(H38),ROUND(F38*H38,2),"")</x:f>
        <x:v>38.45</x:v>
      </x:c>
      <x:c r="J38" s="13" t="n">
        <x:v>91339</x:v>
      </x:c>
      <x:c r="K38" s="9" t="str">
        <x:v>In stock</x:v>
      </x:c>
      <x:c r="L38" s="9" t="str">
        <x:v>Cut Tape (CT) : 1</x:v>
      </x:c>
      <x:c r="M38" s="9" t="str">
        <x:v>16</x:v>
      </x:c>
      <x:c r="N38" s="9" t="str">
        <x:v>Exact existing project part retained; no new substitution.</x:v>
      </x:c>
      <x:c r="O38" s="9" t="str"/>
      <x:c r="P38" s="9" t="str">
        <x:v>https://www.digikey.com/en/products/detail/nordic-semiconductor-asa/NRF52840-QIAA-R/7725407</x:v>
      </x:c>
      <x:c r="Q38" s="9" t="str">
        <x:v>NRF52840-QIAA-R</x:v>
      </x:c>
      <x:c r="R38" s="9" t="str">
        <x:v>Nordic Semiconductor</x:v>
      </x:c>
      <x:c r="S38" s="9" t="str">
        <x:v>Package_DFN_QFN:Nordic_AQFN-73-1EP_7x7mm_P0.5mm</x:v>
      </x:c>
      <x:c r="T38" s="9" t="str">
        <x:v>Original part retained</x:v>
      </x:c>
      <x:c r="U38" s="9" t="str">
        <x:v>https://infocenter.nordicsemi.com/pdf/nRF52840_OPS_v0.5.1.pdf</x:v>
      </x:c>
    </x:row>
    <x:row r="39" ht="48" customHeight="1">
      <x:c r="A39" s="9" t="str">
        <x:v>U2</x:v>
      </x:c>
      <x:c r="B39" s="9" t="str">
        <x:v>SHTC3</x:v>
      </x:c>
      <x:c r="C39" s="9" t="str">
        <x:v>SHTC3-TR-2.5KS</x:v>
      </x:c>
      <x:c r="D39" s="9" t="str">
        <x:v>Sensirion</x:v>
      </x:c>
      <x:c r="E39" s="12" t="n">
        <x:v>1</x:v>
      </x:c>
      <x:c r="F39" s="12" t="n">
        <x:f>E39*$B$4</x:f>
        <x:v>5</x:v>
      </x:c>
      <x:c r="G39" s="9" t="str">
        <x:v>1649-SHTC3-TR-2.5KSCT-ND</x:v>
      </x:c>
      <x:c r="H39" s="10" t="n">
        <x:v>1.906</x:v>
      </x:c>
      <x:c r="I39" s="11" t="n">
        <x:f>IF(ISNUMBER(H39),ROUND(F39*H39,2),"")</x:f>
        <x:v>9.53</x:v>
      </x:c>
      <x:c r="J39" s="13" t="n">
        <x:v>77137</x:v>
      </x:c>
      <x:c r="K39" s="9" t="str">
        <x:v>In stock</x:v>
      </x:c>
      <x:c r="L39" s="9" t="str">
        <x:v>Cut Tape (CT) : 1</x:v>
      </x:c>
      <x:c r="M39" s="9" t="str">
        <x:v>8</x:v>
      </x:c>
      <x:c r="N39" s="9" t="str">
        <x:v>SHTC3-TR-2.5KS is the tape-and-reel ordering code for the existing SHTC3. No sensor change.</x:v>
      </x:c>
      <x:c r="O39" s="9" t="str"/>
      <x:c r="P39" s="9" t="str">
        <x:v>https://www.digikey.com/en/products/detail/sensirion-ag/SHTC3-TR-2-5KS/8628148</x:v>
      </x:c>
      <x:c r="Q39" s="9" t="str">
        <x:v>SHTC3</x:v>
      </x:c>
      <x:c r="R39" s="9" t="str">
        <x:v>Sensirion</x:v>
      </x:c>
      <x:c r="S39" s="9" t="str">
        <x:v>kicad:Sensirion_DFN-4-1EP_2x2mm_P1mm_EP0.7x1.6mm</x:v>
      </x:c>
      <x:c r="T39" s="9" t="str">
        <x:v>Packaged ordering code</x:v>
      </x:c>
      <x:c r="U39" s="9" t="str">
        <x:v>https://mm.digikey.com/Volume0/opasdata/d220001/medias/docus/906/HT_DS_SHTC3_D1.pdf</x:v>
      </x:c>
    </x:row>
    <x:row r="40" ht="48" customHeight="1">
      <x:c r="A40" s="9" t="str">
        <x:v>Y1</x:v>
      </x:c>
      <x:c r="B40" s="9" t="str">
        <x:v>32.768kHz</x:v>
      </x:c>
      <x:c r="C40" s="9" t="str">
        <x:v>STDMUA9-32.768K</x:v>
      </x:c>
      <x:c r="D40" s="9" t="str">
        <x:v>NDK</x:v>
      </x:c>
      <x:c r="E40" s="12" t="n">
        <x:v>1</x:v>
      </x:c>
      <x:c r="F40" s="12" t="n">
        <x:f>E40*$B$4</x:f>
        <x:v>5</x:v>
      </x:c>
      <x:c r="G40" s="9" t="str">
        <x:v>644-STDMUA9-32.768KCT-ND</x:v>
      </x:c>
      <x:c r="H40" s="10" t="n">
        <x:v>0.67</x:v>
      </x:c>
      <x:c r="I40" s="11" t="n">
        <x:f>IF(ISNUMBER(H40),ROUND(F40*H40,2),"")</x:f>
        <x:v>3.35</x:v>
      </x:c>
      <x:c r="J40" s="13" t="n">
        <x:v>11981</x:v>
      </x:c>
      <x:c r="K40" s="9" t="str">
        <x:v>In stock</x:v>
      </x:c>
      <x:c r="L40" s="9" t="str">
        <x:v>Cut Tape (CT) : 1</x:v>
      </x:c>
      <x:c r="M40" s="9" t="str">
        <x:v>52</x:v>
      </x:c>
      <x:c r="N40" s="9" t="str">
        <x:v>DigiKey maps original NX3215SA-32.768K-STD-MUA-9 to STDMUA9-32.768K. NDK Table 1 confirms STD-MUA-9 = 9 pF; 32.768 kHz, ±20 ppm, ESR≤70 kΩ. Same 3215 two-pad device. Do not use STD-MUA-8 (12.5 pF).</x:v>
      </x:c>
      <x:c r="O40" s="9" t="str"/>
      <x:c r="P40" s="9" t="str">
        <x:v>https://www.digikey.com/en/products/detail/ndk-nihon-dempa-kogyo-co-ltd/STDMUA9-32-768K/2261468</x:v>
      </x:c>
      <x:c r="Q40" s="9" t="str">
        <x:v>NX3215SA-32.768K-STD-MUA-9</x:v>
      </x:c>
      <x:c r="R40" s="9" t="str">
        <x:v>NDK</x:v>
      </x:c>
      <x:c r="S40" s="9" t="str">
        <x:v>Crystal:Crystal_SMD_3215-2Pin_3.2x1.5mm</x:v>
      </x:c>
      <x:c r="T40" s="9" t="str">
        <x:v>Ordering alias verified</x:v>
      </x:c>
      <x:c r="U40" s="9" t="str">
        <x:v>https://www.ndk.com/en/products/upload/lineup/pdf/NDKX01-00001_en.pdf</x:v>
      </x:c>
    </x:row>
    <x:row r="41" ht="48" customHeight="1">
      <x:c r="A41" s="9" t="str">
        <x:v>Y2</x:v>
      </x:c>
      <x:c r="B41" s="9" t="str">
        <x:v>32MHz</x:v>
      </x:c>
      <x:c r="C41" s="9" t="str">
        <x:v>CX2016DB32000D0FLJCC</x:v>
      </x:c>
      <x:c r="D41" s="9" t="str">
        <x:v>KYOCERA AVX</x:v>
      </x:c>
      <x:c r="E41" s="12" t="n">
        <x:v>1</x:v>
      </x:c>
      <x:c r="F41" s="12" t="n">
        <x:f>E41*$B$4</x:f>
        <x:v>5</x:v>
      </x:c>
      <x:c r="G41" s="9" t="str">
        <x:v>478-CX2016DB32000D0FLJCCCT-ND</x:v>
      </x:c>
      <x:c r="H41" s="10" t="n">
        <x:v>0.91</x:v>
      </x:c>
      <x:c r="I41" s="11" t="n">
        <x:f>IF(ISNUMBER(H41),ROUND(F41*H41,2),"")</x:f>
        <x:v>4.55</x:v>
      </x:c>
      <x:c r="J41" s="13" t="n">
        <x:v>45839</x:v>
      </x:c>
      <x:c r="K41" s="9" t="str">
        <x:v>In stock</x:v>
      </x:c>
      <x:c r="L41" s="9" t="str">
        <x:v>Cut Tape (CT) : 1</x:v>
      </x:c>
      <x:c r="M41" s="9" t="str">
        <x:v>18</x:v>
      </x:c>
      <x:c r="N41" s="9" t="str">
        <x:v>Exact existing project part retained; no new substitution.</x:v>
      </x:c>
      <x:c r="O41" s="9" t="str"/>
      <x:c r="P41" s="9" t="str">
        <x:v>https://www.digikey.com/en/products/detail/kyocera-avx/CX2016DB32000D0FLJCC/4453818</x:v>
      </x:c>
      <x:c r="Q41" s="9" t="str">
        <x:v>CX2016DB32000D0FLJCC</x:v>
      </x:c>
      <x:c r="R41" s="9" t="str">
        <x:v>KYOCERA AVX</x:v>
      </x:c>
      <x:c r="S41" s="9" t="str">
        <x:v>Crystal:Crystal_SMD_2016-4Pin_2.0x1.6mm</x:v>
      </x:c>
      <x:c r="T41" s="9" t="str">
        <x:v>Original part retained</x:v>
      </x:c>
      <x:c r="U41" s="9" t="str">
        <x:v>https://ele.kyocera.com/assets/products/crystal-device/cx2016db_e.pdf</x:v>
      </x:c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</x:row>
    <x:row r="43">
      <x:c r="A43" s="1" t="str">
        <x:v>PCB-only features excluded: J1 and TP1–TP9. 43 fitted parts per board; 31 purchasing lines; 215 parts for five boards.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</x:row>
    <x:row r="45">
      <x:c r="A45" t="str">
        <x:v>Review: datasheet and board-file comparison; no physical prototypes tested. ERC/PCB DRC gates pass; broader MCP gate retains documented parser/placement/parity findings.</x:v>
      </x:c>
    </x:row>
    <x:row r="46">
      <x:c r="A46" t="str">
        <x:v>RF hold: measure S11 across 2.402–2.480 GHz with battery/enclosure, tune C19/L4/L5, then verify BLE range. Do not copy evaluation-board values blindly.</x:v>
      </x:c>
    </x:row>
    <x:row r="47">
      <x:c r="A47" t="str">
        <x:v>C6 hold: typical curves indicate ~1.4 µF at 3 V versus ~1.8–1.9 µF original. Confirm VDD droop with aged/cold battery during worst-case BLE bursts or select another capacitor.</x:v>
      </x:c>
    </x:row>
  </x:sheetData>
  <x:conditionalFormatting sqref="K11:K41">
    <x:cfRule type="containsText" dxfId="0" priority="1" operator="containsText" text="No exact"/>
    <x:cfRule type="containsText" dxfId="1" priority="2" operator="containsText" text="Out of stock"/>
    <x:cfRule type="containsText" dxfId="2" priority="3" operator="containsText" text="MOQ"/>
    <x:cfRule type="containsText" dxfId="3" priority="4" operator="containsText" text="No exact"/>
    <x:cfRule type="containsText" dxfId="4" priority="5" operator="containsText" text="Out of stock"/>
    <x:cfRule type="containsText" dxfId="5" priority="6" operator="containsText" text="MOQ"/>
  </x:conditionalFormatting>
  <x:pageMargins left="0.7" right="0.7" top="0.75" bottom="0.75" header="0.3" footer="0.3"/>
</x:worksheet>
</file>